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LuisMartin\Desktop\"/>
    </mc:Choice>
  </mc:AlternateContent>
  <bookViews>
    <workbookView xWindow="0" yWindow="0" windowWidth="20490" windowHeight="7530" activeTab="1"/>
  </bookViews>
  <sheets>
    <sheet name="DIAGRAMAER" sheetId="5" r:id="rId1"/>
    <sheet name="SCRIPT_MEDICO" sheetId="2" r:id="rId2"/>
    <sheet name="SCRIPT_ESPECIALIDAD" sheetId="8" r:id="rId3"/>
    <sheet name="TABLACONSULTA" sheetId="7" r:id="rId4"/>
    <sheet name="Hoja1" sheetId="9" r:id="rId5"/>
  </sheets>
  <calcPr calcId="162913"/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2" i="2"/>
  <c r="H27" i="2" l="1"/>
  <c r="H16" i="2"/>
  <c r="H17" i="2"/>
  <c r="H18" i="2"/>
  <c r="H19" i="2"/>
  <c r="H20" i="2"/>
  <c r="H21" i="2"/>
  <c r="H22" i="2"/>
  <c r="H23" i="2"/>
  <c r="H24" i="2"/>
  <c r="H25" i="2"/>
  <c r="H26" i="2"/>
  <c r="H15" i="2"/>
  <c r="C2" i="8"/>
  <c r="C3" i="8" l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</calcChain>
</file>

<file path=xl/sharedStrings.xml><?xml version="1.0" encoding="utf-8"?>
<sst xmlns="http://schemas.openxmlformats.org/spreadsheetml/2006/main" count="145" uniqueCount="132">
  <si>
    <t>MEDICO</t>
  </si>
  <si>
    <t>CONSULTA</t>
  </si>
  <si>
    <t>IdMedico : number : PK</t>
  </si>
  <si>
    <t>N</t>
  </si>
  <si>
    <t>IdConsulta : number : PK</t>
  </si>
  <si>
    <t>Nombre : varchar</t>
  </si>
  <si>
    <t>Fecha : date</t>
  </si>
  <si>
    <t>Realiza</t>
  </si>
  <si>
    <t>IdEspecialidad : number : FK</t>
  </si>
  <si>
    <t>IdMedico : number : FK</t>
  </si>
  <si>
    <t>Hora : number</t>
  </si>
  <si>
    <t>Posee</t>
  </si>
  <si>
    <t>ESPECIALIDAD</t>
  </si>
  <si>
    <t>IdEspecialidad : number : PK</t>
  </si>
  <si>
    <t xml:space="preserve">precio : number </t>
  </si>
  <si>
    <t>FECHA</t>
  </si>
  <si>
    <t>HORA</t>
  </si>
  <si>
    <t>PRECIO</t>
  </si>
  <si>
    <t>IDMEDICO</t>
  </si>
  <si>
    <t>IDESPECIALIDAD</t>
  </si>
  <si>
    <t>IDCONSULTA</t>
  </si>
  <si>
    <t>NOMBRE</t>
  </si>
  <si>
    <t>Alergología</t>
  </si>
  <si>
    <t>Anestesiología</t>
  </si>
  <si>
    <t xml:space="preserve">Cardiología </t>
  </si>
  <si>
    <t xml:space="preserve">Gastroenterología </t>
  </si>
  <si>
    <t>Endocrinología</t>
  </si>
  <si>
    <t>Geriatría</t>
  </si>
  <si>
    <t>Hematología y hemoterapia</t>
  </si>
  <si>
    <t xml:space="preserve">Hidrología médica </t>
  </si>
  <si>
    <t>Nefrología</t>
  </si>
  <si>
    <t xml:space="preserve">Neumología </t>
  </si>
  <si>
    <t xml:space="preserve">Neurología </t>
  </si>
  <si>
    <t xml:space="preserve">Nutriología </t>
  </si>
  <si>
    <t xml:space="preserve">Odontología </t>
  </si>
  <si>
    <t>Oftalmología</t>
  </si>
  <si>
    <t xml:space="preserve">Oncología médica </t>
  </si>
  <si>
    <t>Oncología radioterápica</t>
  </si>
  <si>
    <t xml:space="preserve">Otorrinolaringología </t>
  </si>
  <si>
    <t xml:space="preserve">Pediatría </t>
  </si>
  <si>
    <t xml:space="preserve">Proctología </t>
  </si>
  <si>
    <t xml:space="preserve">Psiquiatría </t>
  </si>
  <si>
    <t xml:space="preserve">Rehabilitación </t>
  </si>
  <si>
    <t xml:space="preserve">Reumatología </t>
  </si>
  <si>
    <t xml:space="preserve">Traumatología </t>
  </si>
  <si>
    <t xml:space="preserve">Toxicología </t>
  </si>
  <si>
    <t>Urología</t>
  </si>
  <si>
    <t>Script</t>
  </si>
  <si>
    <t>Infectología</t>
  </si>
  <si>
    <t>Materno : varchar</t>
  </si>
  <si>
    <t>Paterno : varchar</t>
  </si>
  <si>
    <t>IDREGISTRO_ESPECIALIDADES</t>
  </si>
  <si>
    <t xml:space="preserve">NOMBRE </t>
  </si>
  <si>
    <t>APELLIDO</t>
  </si>
  <si>
    <t>PATERNO</t>
  </si>
  <si>
    <t xml:space="preserve">MATERNO </t>
  </si>
  <si>
    <t>CEDULA</t>
  </si>
  <si>
    <t>Luis</t>
  </si>
  <si>
    <t>Carielo</t>
  </si>
  <si>
    <t>Arredondo</t>
  </si>
  <si>
    <t xml:space="preserve">Guadalupe </t>
  </si>
  <si>
    <t>De la peña</t>
  </si>
  <si>
    <t>Flores</t>
  </si>
  <si>
    <t>David</t>
  </si>
  <si>
    <t xml:space="preserve">Lopez </t>
  </si>
  <si>
    <t>Pereira</t>
  </si>
  <si>
    <t>Nancy</t>
  </si>
  <si>
    <t>hernandez</t>
  </si>
  <si>
    <t>Ozuna</t>
  </si>
  <si>
    <t xml:space="preserve">Davila </t>
  </si>
  <si>
    <t>de la Peña</t>
  </si>
  <si>
    <t>Solis</t>
  </si>
  <si>
    <t>Luzelena</t>
  </si>
  <si>
    <t>Mendoza</t>
  </si>
  <si>
    <t xml:space="preserve">Rodolfo </t>
  </si>
  <si>
    <t>Gloria</t>
  </si>
  <si>
    <t>Peña</t>
  </si>
  <si>
    <t xml:space="preserve">Jordi </t>
  </si>
  <si>
    <t>Saucedo</t>
  </si>
  <si>
    <t>Gonzales</t>
  </si>
  <si>
    <t>Alejandra</t>
  </si>
  <si>
    <t>Rodriguez</t>
  </si>
  <si>
    <t>villarreal</t>
  </si>
  <si>
    <t>Perez</t>
  </si>
  <si>
    <t>Gonzalez</t>
  </si>
  <si>
    <t>Jose</t>
  </si>
  <si>
    <t>Jaime</t>
  </si>
  <si>
    <t>Roberto</t>
  </si>
  <si>
    <t>Villarreal</t>
  </si>
  <si>
    <t>Paola</t>
  </si>
  <si>
    <t>Duron</t>
  </si>
  <si>
    <t>Quijano</t>
  </si>
  <si>
    <t>Emilio</t>
  </si>
  <si>
    <t>Cédula: number</t>
  </si>
  <si>
    <t>Carla</t>
  </si>
  <si>
    <t>Salinas</t>
  </si>
  <si>
    <t>Saldivar</t>
  </si>
  <si>
    <t>Francisco</t>
  </si>
  <si>
    <t>Coto</t>
  </si>
  <si>
    <t>Guerrero</t>
  </si>
  <si>
    <t>Sofía</t>
  </si>
  <si>
    <t>Villa</t>
  </si>
  <si>
    <t>Zertuche</t>
  </si>
  <si>
    <t>Patricio</t>
  </si>
  <si>
    <t>Cárdenas</t>
  </si>
  <si>
    <t>Cardona</t>
  </si>
  <si>
    <t>Lorena</t>
  </si>
  <si>
    <t>Sánchez</t>
  </si>
  <si>
    <t>Abasolo</t>
  </si>
  <si>
    <t>Perla</t>
  </si>
  <si>
    <t>Márquez</t>
  </si>
  <si>
    <t>Juan</t>
  </si>
  <si>
    <t>Martínez</t>
  </si>
  <si>
    <t>Pedroza</t>
  </si>
  <si>
    <t>Magdalena</t>
  </si>
  <si>
    <t>Juárez</t>
  </si>
  <si>
    <t>Casas</t>
  </si>
  <si>
    <t>Alejandro</t>
  </si>
  <si>
    <t>Garza</t>
  </si>
  <si>
    <t>López</t>
  </si>
  <si>
    <t>Carlos</t>
  </si>
  <si>
    <t>Contreras</t>
  </si>
  <si>
    <t>Hernández</t>
  </si>
  <si>
    <t>Ricardo</t>
  </si>
  <si>
    <t>Molina</t>
  </si>
  <si>
    <t>Guerra</t>
  </si>
  <si>
    <t>Fabiola</t>
  </si>
  <si>
    <t>Cortez</t>
  </si>
  <si>
    <t>Cantú</t>
  </si>
  <si>
    <t>Monserrat</t>
  </si>
  <si>
    <t>Dávila</t>
  </si>
  <si>
    <t>Campos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</si>
</sst>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$-80A]#,##0.00;[Red]&quot;-&quot;[$$-80A]#,##0.00"/>
  </numFmts>
  <fonts count="4">
    <font>
      <sz val="12"/>
      <color theme="1"/>
      <name val="Liberation Sans"/>
    </font>
    <font>
      <b/>
      <i/>
      <sz val="16"/>
      <color theme="1"/>
      <name val="Liberation Sans"/>
    </font>
    <font>
      <b/>
      <i/>
      <u/>
      <sz val="12"/>
      <color theme="1"/>
      <name val="Liberation Sans"/>
    </font>
    <font>
      <b/>
      <sz val="12"/>
      <color theme="1"/>
      <name val="Liberation San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horizontal="center"/>
    </xf>
    <xf numFmtId="0" fontId="1" fillId="0" borderId="0">
      <alignment horizontal="center" textRotation="90"/>
    </xf>
    <xf numFmtId="0" fontId="2" fillId="0" borderId="0"/>
    <xf numFmtId="164" fontId="2" fillId="0" borderId="0"/>
  </cellStyleXfs>
  <cellXfs count="7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682626</xdr:colOff>
      <xdr:row>4</xdr:row>
      <xdr:rowOff>83343</xdr:rowOff>
    </xdr:from>
    <xdr:to>
      <xdr:col>2</xdr:col>
      <xdr:colOff>285750</xdr:colOff>
      <xdr:row>12</xdr:row>
      <xdr:rowOff>107157</xdr:rowOff>
    </xdr:to>
    <xdr:sp macro="" textlink="">
      <xdr:nvSpPr>
        <xdr:cNvPr id="3" name="Rectángulo redondeado 2"/>
        <xdr:cNvSpPr/>
      </xdr:nvSpPr>
      <xdr:spPr>
        <a:xfrm>
          <a:off x="682626" y="845343"/>
          <a:ext cx="3282155" cy="1643064"/>
        </a:xfrm>
        <a:prstGeom prst="roundRect">
          <a:avLst/>
        </a:prstGeom>
        <a:solidFill>
          <a:schemeClr val="accent1">
            <a:alpha val="44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130175</xdr:colOff>
      <xdr:row>3</xdr:row>
      <xdr:rowOff>71436</xdr:rowOff>
    </xdr:from>
    <xdr:to>
      <xdr:col>7</xdr:col>
      <xdr:colOff>32807</xdr:colOff>
      <xdr:row>10</xdr:row>
      <xdr:rowOff>190499</xdr:rowOff>
    </xdr:to>
    <xdr:sp macro="" textlink="">
      <xdr:nvSpPr>
        <xdr:cNvPr id="4" name="Rectángulo redondeado 3"/>
        <xdr:cNvSpPr/>
      </xdr:nvSpPr>
      <xdr:spPr>
        <a:xfrm>
          <a:off x="6654800" y="642936"/>
          <a:ext cx="2712507" cy="1524001"/>
        </a:xfrm>
        <a:prstGeom prst="roundRect">
          <a:avLst/>
        </a:prstGeom>
        <a:solidFill>
          <a:schemeClr val="accent1">
            <a:alpha val="44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793750</xdr:colOff>
      <xdr:row>24</xdr:row>
      <xdr:rowOff>9525</xdr:rowOff>
    </xdr:from>
    <xdr:to>
      <xdr:col>2</xdr:col>
      <xdr:colOff>206375</xdr:colOff>
      <xdr:row>30</xdr:row>
      <xdr:rowOff>57150</xdr:rowOff>
    </xdr:to>
    <xdr:sp macro="" textlink="">
      <xdr:nvSpPr>
        <xdr:cNvPr id="5" name="Rectángulo redondeado 4"/>
        <xdr:cNvSpPr/>
      </xdr:nvSpPr>
      <xdr:spPr>
        <a:xfrm>
          <a:off x="793750" y="4756150"/>
          <a:ext cx="2603500" cy="1238250"/>
        </a:xfrm>
        <a:prstGeom prst="roundRect">
          <a:avLst/>
        </a:prstGeom>
        <a:solidFill>
          <a:schemeClr val="accent1">
            <a:alpha val="44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941274</xdr:colOff>
      <xdr:row>5</xdr:row>
      <xdr:rowOff>43882</xdr:rowOff>
    </xdr:from>
    <xdr:to>
      <xdr:col>4</xdr:col>
      <xdr:colOff>122124</xdr:colOff>
      <xdr:row>10</xdr:row>
      <xdr:rowOff>110557</xdr:rowOff>
    </xdr:to>
    <xdr:sp macro="" textlink="">
      <xdr:nvSpPr>
        <xdr:cNvPr id="6" name="Decisión 5"/>
        <xdr:cNvSpPr/>
      </xdr:nvSpPr>
      <xdr:spPr>
        <a:xfrm>
          <a:off x="4620305" y="1008288"/>
          <a:ext cx="1157288" cy="1078707"/>
        </a:xfrm>
        <a:prstGeom prst="flowChartDecision">
          <a:avLst/>
        </a:prstGeom>
        <a:solidFill>
          <a:schemeClr val="accent1">
            <a:alpha val="44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759279</xdr:colOff>
      <xdr:row>16</xdr:row>
      <xdr:rowOff>1361</xdr:rowOff>
    </xdr:from>
    <xdr:to>
      <xdr:col>1</xdr:col>
      <xdr:colOff>1921329</xdr:colOff>
      <xdr:row>21</xdr:row>
      <xdr:rowOff>106136</xdr:rowOff>
    </xdr:to>
    <xdr:sp macro="" textlink="">
      <xdr:nvSpPr>
        <xdr:cNvPr id="7" name="Decisión 6"/>
        <xdr:cNvSpPr/>
      </xdr:nvSpPr>
      <xdr:spPr>
        <a:xfrm>
          <a:off x="1743529" y="2985861"/>
          <a:ext cx="1162050" cy="1073150"/>
        </a:xfrm>
        <a:prstGeom prst="flowChartDecision">
          <a:avLst/>
        </a:prstGeom>
        <a:solidFill>
          <a:schemeClr val="accent1">
            <a:alpha val="44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1335485</xdr:colOff>
      <xdr:row>12</xdr:row>
      <xdr:rowOff>107157</xdr:rowOff>
    </xdr:from>
    <xdr:to>
      <xdr:col>1</xdr:col>
      <xdr:colOff>1340304</xdr:colOff>
      <xdr:row>16</xdr:row>
      <xdr:rowOff>1361</xdr:rowOff>
    </xdr:to>
    <xdr:cxnSp macro="">
      <xdr:nvCxnSpPr>
        <xdr:cNvPr id="9" name="Conector recto 8"/>
        <xdr:cNvCxnSpPr>
          <a:stCxn id="3" idx="2"/>
          <a:endCxn id="7" idx="0"/>
        </xdr:cNvCxnSpPr>
      </xdr:nvCxnSpPr>
      <xdr:spPr>
        <a:xfrm>
          <a:off x="2323704" y="2488407"/>
          <a:ext cx="4819" cy="6800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1340304</xdr:colOff>
      <xdr:row>21</xdr:row>
      <xdr:rowOff>106136</xdr:rowOff>
    </xdr:from>
    <xdr:to>
      <xdr:col>1</xdr:col>
      <xdr:colOff>1357313</xdr:colOff>
      <xdr:row>25</xdr:row>
      <xdr:rowOff>9525</xdr:rowOff>
    </xdr:to>
    <xdr:cxnSp macro="">
      <xdr:nvCxnSpPr>
        <xdr:cNvPr id="10" name="Conector recto 9"/>
        <xdr:cNvCxnSpPr>
          <a:stCxn id="7" idx="2"/>
          <a:endCxn id="5" idx="0"/>
        </xdr:cNvCxnSpPr>
      </xdr:nvCxnSpPr>
      <xdr:spPr>
        <a:xfrm>
          <a:off x="2324554" y="4059011"/>
          <a:ext cx="17009" cy="68126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285750</xdr:colOff>
      <xdr:row>7</xdr:row>
      <xdr:rowOff>178423</xdr:rowOff>
    </xdr:from>
    <xdr:to>
      <xdr:col>2</xdr:col>
      <xdr:colOff>941274</xdr:colOff>
      <xdr:row>8</xdr:row>
      <xdr:rowOff>95250</xdr:rowOff>
    </xdr:to>
    <xdr:cxnSp macro="">
      <xdr:nvCxnSpPr>
        <xdr:cNvPr id="17" name="Conector recto 16"/>
        <xdr:cNvCxnSpPr>
          <a:stCxn id="3" idx="3"/>
          <a:endCxn id="6" idx="1"/>
        </xdr:cNvCxnSpPr>
      </xdr:nvCxnSpPr>
      <xdr:spPr>
        <a:xfrm flipV="1">
          <a:off x="3964781" y="1547642"/>
          <a:ext cx="655524" cy="11923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122124</xdr:colOff>
      <xdr:row>7</xdr:row>
      <xdr:rowOff>35718</xdr:rowOff>
    </xdr:from>
    <xdr:to>
      <xdr:col>5</xdr:col>
      <xdr:colOff>130175</xdr:colOff>
      <xdr:row>7</xdr:row>
      <xdr:rowOff>178423</xdr:rowOff>
    </xdr:to>
    <xdr:cxnSp macro="">
      <xdr:nvCxnSpPr>
        <xdr:cNvPr id="21" name="Conector recto 20"/>
        <xdr:cNvCxnSpPr>
          <a:stCxn id="6" idx="3"/>
          <a:endCxn id="4" idx="1"/>
        </xdr:cNvCxnSpPr>
      </xdr:nvCxnSpPr>
      <xdr:spPr>
        <a:xfrm flipV="1">
          <a:off x="5777593" y="1404937"/>
          <a:ext cx="877207" cy="14270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G29"/>
  <sheetViews>
    <sheetView showGridLines="0" zoomScale="80" zoomScaleNormal="80" workbookViewId="0">
      <selection activeCell="E15" sqref="E15"/>
    </sheetView>
  </sheetViews>
  <sheetFormatPr baseColWidth="10" defaultRowHeight="15"/>
  <cols>
    <col min="2" max="2" width="31.44140625" bestFit="1" customWidth="1"/>
    <col min="5" max="5" width="10.109375" customWidth="1"/>
    <col min="6" max="6" width="2.109375" customWidth="1"/>
    <col min="7" max="7" width="30.6640625" bestFit="1" customWidth="1"/>
  </cols>
  <sheetData>
    <row r="5" spans="2:7" ht="15.75">
      <c r="G5" s="1" t="s">
        <v>1</v>
      </c>
    </row>
    <row r="6" spans="2:7" ht="15.75">
      <c r="B6" s="1" t="s">
        <v>0</v>
      </c>
      <c r="C6" s="4">
        <v>1</v>
      </c>
      <c r="E6" s="4" t="s">
        <v>3</v>
      </c>
      <c r="G6" s="1" t="s">
        <v>4</v>
      </c>
    </row>
    <row r="7" spans="2:7" ht="15.75">
      <c r="B7" s="1" t="s">
        <v>2</v>
      </c>
      <c r="G7" s="1" t="s">
        <v>6</v>
      </c>
    </row>
    <row r="8" spans="2:7" ht="15.75">
      <c r="B8" s="1" t="s">
        <v>5</v>
      </c>
      <c r="D8" s="1" t="s">
        <v>7</v>
      </c>
      <c r="G8" s="1" t="s">
        <v>9</v>
      </c>
    </row>
    <row r="9" spans="2:7" ht="15.75">
      <c r="B9" s="1" t="s">
        <v>49</v>
      </c>
      <c r="G9" s="1" t="s">
        <v>10</v>
      </c>
    </row>
    <row r="10" spans="2:7" ht="15.75">
      <c r="B10" s="1" t="s">
        <v>50</v>
      </c>
      <c r="G10" s="1" t="s">
        <v>14</v>
      </c>
    </row>
    <row r="11" spans="2:7" ht="15.75">
      <c r="B11" s="1" t="s">
        <v>93</v>
      </c>
    </row>
    <row r="12" spans="2:7" ht="15.75">
      <c r="B12" s="2" t="s">
        <v>8</v>
      </c>
    </row>
    <row r="13" spans="2:7" ht="15.75">
      <c r="F13" s="1"/>
    </row>
    <row r="14" spans="2:7" ht="15.75">
      <c r="B14" s="3">
        <v>1</v>
      </c>
    </row>
    <row r="19" spans="2:2" ht="15.75">
      <c r="B19" s="1" t="s">
        <v>11</v>
      </c>
    </row>
    <row r="25" spans="2:2" ht="15.75">
      <c r="B25" s="2" t="s">
        <v>3</v>
      </c>
    </row>
    <row r="27" spans="2:2" ht="15.75">
      <c r="B27" s="1" t="s">
        <v>12</v>
      </c>
    </row>
    <row r="28" spans="2:2" ht="15.75">
      <c r="B28" s="1" t="s">
        <v>5</v>
      </c>
    </row>
    <row r="29" spans="2:2" ht="15.75">
      <c r="B29" s="1" t="s">
        <v>13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"/>
  <sheetViews>
    <sheetView tabSelected="1" workbookViewId="0">
      <selection activeCell="A15" sqref="A15"/>
    </sheetView>
  </sheetViews>
  <sheetFormatPr baseColWidth="10" defaultRowHeight="15"/>
  <cols>
    <col min="1" max="1" width="9.44140625" customWidth="1"/>
    <col min="2" max="2" width="15.6640625" customWidth="1"/>
  </cols>
  <sheetData>
    <row r="1" spans="1:8">
      <c r="A1" t="s">
        <v>18</v>
      </c>
      <c r="B1" t="s">
        <v>19</v>
      </c>
      <c r="C1" t="s">
        <v>21</v>
      </c>
      <c r="D1" t="s">
        <v>54</v>
      </c>
      <c r="E1" t="s">
        <v>55</v>
      </c>
      <c r="F1" t="s">
        <v>56</v>
      </c>
    </row>
    <row r="2" spans="1:8">
      <c r="A2">
        <v>1</v>
      </c>
      <c r="B2">
        <v>1</v>
      </c>
      <c r="C2" t="s">
        <v>94</v>
      </c>
      <c r="D2" t="s">
        <v>95</v>
      </c>
      <c r="E2" t="s">
        <v>96</v>
      </c>
      <c r="F2">
        <v>214398</v>
      </c>
      <c r="H2" s="6" t="str">
        <f>CONCATENATE("INSERT INTO MEDICO(IDMEDICO,IDESPECIALIDAD,NOMBRE,PATERNO,MATERNO,CEDULA) VALUES(",A2,",",B2,",'",C2,"','",D2,"','",E2,"',",F2,");")</f>
        <v>INSERT INTO MEDICO(IDMEDICO,IDESPECIALIDAD,NOMBRE,PATERNO,MATERNO,CEDULA) VALUES(1,1,'Carla','Salinas','Saldivar',214398);</v>
      </c>
    </row>
    <row r="3" spans="1:8">
      <c r="A3">
        <v>2</v>
      </c>
      <c r="B3">
        <v>2</v>
      </c>
      <c r="C3" t="s">
        <v>97</v>
      </c>
      <c r="D3" t="s">
        <v>98</v>
      </c>
      <c r="E3" t="s">
        <v>99</v>
      </c>
      <c r="F3">
        <v>329501</v>
      </c>
      <c r="H3" s="6" t="str">
        <f t="shared" ref="H3:H14" si="0">CONCATENATE("INSERT INTO MEDICO(IDMEDICO,IDESPECIALIDAD,NOMBRE,PATERNO,MATERNO,CEDULA) VALUES(",A3,",",B3,",'",C3,"','",D3,"','",E3,"',",F3,");")</f>
        <v>INSERT INTO MEDICO(IDMEDICO,IDESPECIALIDAD,NOMBRE,PATERNO,MATERNO,CEDULA) VALUES(2,2,'Francisco','Coto','Guerrero',329501);</v>
      </c>
    </row>
    <row r="4" spans="1:8">
      <c r="A4">
        <v>3</v>
      </c>
      <c r="B4">
        <v>3</v>
      </c>
      <c r="C4" t="s">
        <v>100</v>
      </c>
      <c r="D4" t="s">
        <v>101</v>
      </c>
      <c r="E4" t="s">
        <v>102</v>
      </c>
      <c r="F4">
        <v>395042</v>
      </c>
      <c r="H4" s="6" t="str">
        <f t="shared" si="0"/>
        <v>INSERT INTO MEDICO(IDMEDICO,IDESPECIALIDAD,NOMBRE,PATERNO,MATERNO,CEDULA) VALUES(3,3,'Sofía','Villa','Zertuche',395042);</v>
      </c>
    </row>
    <row r="5" spans="1:8">
      <c r="A5">
        <v>4</v>
      </c>
      <c r="B5">
        <v>4</v>
      </c>
      <c r="C5" t="s">
        <v>103</v>
      </c>
      <c r="D5" t="s">
        <v>104</v>
      </c>
      <c r="E5" t="s">
        <v>105</v>
      </c>
      <c r="F5">
        <v>679800</v>
      </c>
      <c r="H5" s="6" t="str">
        <f t="shared" si="0"/>
        <v>INSERT INTO MEDICO(IDMEDICO,IDESPECIALIDAD,NOMBRE,PATERNO,MATERNO,CEDULA) VALUES(4,4,'Patricio','Cárdenas','Cardona',679800);</v>
      </c>
    </row>
    <row r="6" spans="1:8">
      <c r="A6">
        <v>5</v>
      </c>
      <c r="B6">
        <v>5</v>
      </c>
      <c r="C6" t="s">
        <v>106</v>
      </c>
      <c r="D6" t="s">
        <v>107</v>
      </c>
      <c r="E6" t="s">
        <v>108</v>
      </c>
      <c r="F6">
        <v>839801</v>
      </c>
      <c r="H6" s="6" t="str">
        <f t="shared" si="0"/>
        <v>INSERT INTO MEDICO(IDMEDICO,IDESPECIALIDAD,NOMBRE,PATERNO,MATERNO,CEDULA) VALUES(5,5,'Lorena','Sánchez','Abasolo',839801);</v>
      </c>
    </row>
    <row r="7" spans="1:8">
      <c r="A7">
        <v>6</v>
      </c>
      <c r="B7">
        <v>6</v>
      </c>
      <c r="C7" t="s">
        <v>109</v>
      </c>
      <c r="D7" t="s">
        <v>110</v>
      </c>
      <c r="E7" t="s">
        <v>71</v>
      </c>
      <c r="F7">
        <v>851213</v>
      </c>
      <c r="H7" s="6" t="str">
        <f t="shared" si="0"/>
        <v>INSERT INTO MEDICO(IDMEDICO,IDESPECIALIDAD,NOMBRE,PATERNO,MATERNO,CEDULA) VALUES(6,6,'Perla','Márquez','Solis',851213);</v>
      </c>
    </row>
    <row r="8" spans="1:8">
      <c r="A8">
        <v>7</v>
      </c>
      <c r="B8">
        <v>7</v>
      </c>
      <c r="C8" t="s">
        <v>111</v>
      </c>
      <c r="D8" t="s">
        <v>112</v>
      </c>
      <c r="E8" t="s">
        <v>113</v>
      </c>
      <c r="F8">
        <v>604555</v>
      </c>
      <c r="H8" s="6" t="str">
        <f t="shared" si="0"/>
        <v>INSERT INTO MEDICO(IDMEDICO,IDESPECIALIDAD,NOMBRE,PATERNO,MATERNO,CEDULA) VALUES(7,7,'Juan','Martínez','Pedroza',604555);</v>
      </c>
    </row>
    <row r="9" spans="1:8">
      <c r="A9">
        <v>8</v>
      </c>
      <c r="B9">
        <v>8</v>
      </c>
      <c r="C9" t="s">
        <v>114</v>
      </c>
      <c r="D9" t="s">
        <v>115</v>
      </c>
      <c r="E9" t="s">
        <v>116</v>
      </c>
      <c r="F9">
        <v>858823</v>
      </c>
      <c r="H9" s="6" t="str">
        <f t="shared" si="0"/>
        <v>INSERT INTO MEDICO(IDMEDICO,IDESPECIALIDAD,NOMBRE,PATERNO,MATERNO,CEDULA) VALUES(8,8,'Magdalena','Juárez','Casas',858823);</v>
      </c>
    </row>
    <row r="10" spans="1:8">
      <c r="A10">
        <v>9</v>
      </c>
      <c r="B10">
        <v>9</v>
      </c>
      <c r="C10" t="s">
        <v>117</v>
      </c>
      <c r="D10" t="s">
        <v>118</v>
      </c>
      <c r="E10" t="s">
        <v>119</v>
      </c>
      <c r="F10">
        <v>775622</v>
      </c>
      <c r="H10" s="6" t="str">
        <f t="shared" si="0"/>
        <v>INSERT INTO MEDICO(IDMEDICO,IDESPECIALIDAD,NOMBRE,PATERNO,MATERNO,CEDULA) VALUES(9,9,'Alejandro','Garza','López',775622);</v>
      </c>
    </row>
    <row r="11" spans="1:8">
      <c r="A11">
        <v>10</v>
      </c>
      <c r="B11">
        <v>10</v>
      </c>
      <c r="C11" t="s">
        <v>120</v>
      </c>
      <c r="D11" t="s">
        <v>121</v>
      </c>
      <c r="E11" t="s">
        <v>122</v>
      </c>
      <c r="F11">
        <v>660099</v>
      </c>
      <c r="H11" s="6" t="str">
        <f t="shared" si="0"/>
        <v>INSERT INTO MEDICO(IDMEDICO,IDESPECIALIDAD,NOMBRE,PATERNO,MATERNO,CEDULA) VALUES(10,10,'Carlos','Contreras','Hernández',660099);</v>
      </c>
    </row>
    <row r="12" spans="1:8">
      <c r="A12">
        <v>11</v>
      </c>
      <c r="B12">
        <v>11</v>
      </c>
      <c r="C12" t="s">
        <v>123</v>
      </c>
      <c r="D12" t="s">
        <v>124</v>
      </c>
      <c r="E12" t="s">
        <v>125</v>
      </c>
      <c r="F12">
        <v>709086</v>
      </c>
      <c r="H12" s="6" t="str">
        <f t="shared" si="0"/>
        <v>INSERT INTO MEDICO(IDMEDICO,IDESPECIALIDAD,NOMBRE,PATERNO,MATERNO,CEDULA) VALUES(11,11,'Ricardo','Molina','Guerra',709086);</v>
      </c>
    </row>
    <row r="13" spans="1:8">
      <c r="A13">
        <v>12</v>
      </c>
      <c r="B13">
        <v>12</v>
      </c>
      <c r="C13" t="s">
        <v>126</v>
      </c>
      <c r="D13" t="s">
        <v>127</v>
      </c>
      <c r="E13" t="s">
        <v>128</v>
      </c>
      <c r="F13">
        <v>732256</v>
      </c>
      <c r="H13" s="6" t="str">
        <f t="shared" si="0"/>
        <v>INSERT INTO MEDICO(IDMEDICO,IDESPECIALIDAD,NOMBRE,PATERNO,MATERNO,CEDULA) VALUES(12,12,'Fabiola','Cortez','Cantú',732256);</v>
      </c>
    </row>
    <row r="14" spans="1:8">
      <c r="A14">
        <v>13</v>
      </c>
      <c r="B14">
        <v>13</v>
      </c>
      <c r="C14" t="s">
        <v>129</v>
      </c>
      <c r="D14" t="s">
        <v>130</v>
      </c>
      <c r="E14" t="s">
        <v>131</v>
      </c>
      <c r="F14">
        <v>803850</v>
      </c>
      <c r="H14" s="6" t="str">
        <f t="shared" si="0"/>
        <v>INSERT INTO MEDICO(IDMEDICO,IDESPECIALIDAD,NOMBRE,PATERNO,MATERNO,CEDULA) VALUES(13,13,'Monserrat','Dávila','Campos',803850);</v>
      </c>
    </row>
    <row r="15" spans="1:8">
      <c r="A15">
        <v>14</v>
      </c>
      <c r="B15">
        <v>14</v>
      </c>
      <c r="C15" t="s">
        <v>57</v>
      </c>
      <c r="D15" t="s">
        <v>58</v>
      </c>
      <c r="E15" t="s">
        <v>59</v>
      </c>
      <c r="F15">
        <v>984365</v>
      </c>
      <c r="H15" t="str">
        <f>CONCATENATE("INSERT INTO MEDICO (IDMEDICO, IDESPECIALIDAD, NOMBRE, PATERNO, MATERNO, CEDULA) VALUES(",A15,",",B15,",'",C15,"','",D15,"','",E15,"',",F15,");")</f>
        <v>INSERT INTO MEDICO (IDMEDICO, IDESPECIALIDAD, NOMBRE, PATERNO, MATERNO, CEDULA) VALUES(14,14,'Luis','Carielo','Arredondo',984365);</v>
      </c>
    </row>
    <row r="16" spans="1:8">
      <c r="A16">
        <v>15</v>
      </c>
      <c r="B16">
        <v>15</v>
      </c>
      <c r="C16" t="s">
        <v>92</v>
      </c>
      <c r="D16" t="s">
        <v>61</v>
      </c>
      <c r="E16" t="s">
        <v>62</v>
      </c>
      <c r="F16">
        <v>234567</v>
      </c>
      <c r="H16" t="str">
        <f t="shared" ref="H16:H26" si="1">CONCATENATE("INSERT INTO MEDICO (IDMEDICO, IDESPECIALIDAD, NOMBRE, PATERNO, MATERNO, CEDULA) VALUES(",A16,",",B16,",'",C16,"','",D16,"','",E16,"',",F16,");")</f>
        <v>INSERT INTO MEDICO (IDMEDICO, IDESPECIALIDAD, NOMBRE, PATERNO, MATERNO, CEDULA) VALUES(15,15,'Emilio','De la peña','Flores',234567);</v>
      </c>
    </row>
    <row r="17" spans="1:8">
      <c r="A17">
        <v>16</v>
      </c>
      <c r="B17">
        <v>16</v>
      </c>
      <c r="C17" t="s">
        <v>63</v>
      </c>
      <c r="D17" t="s">
        <v>64</v>
      </c>
      <c r="E17" t="s">
        <v>65</v>
      </c>
      <c r="F17">
        <v>435678</v>
      </c>
      <c r="H17" t="str">
        <f t="shared" si="1"/>
        <v>INSERT INTO MEDICO (IDMEDICO, IDESPECIALIDAD, NOMBRE, PATERNO, MATERNO, CEDULA) VALUES(16,16,'David','Lopez ','Pereira',435678);</v>
      </c>
    </row>
    <row r="18" spans="1:8">
      <c r="A18">
        <v>17</v>
      </c>
      <c r="B18">
        <v>17</v>
      </c>
      <c r="C18" t="s">
        <v>66</v>
      </c>
      <c r="D18" t="s">
        <v>67</v>
      </c>
      <c r="E18" t="s">
        <v>68</v>
      </c>
      <c r="F18">
        <v>358998</v>
      </c>
      <c r="H18" t="str">
        <f t="shared" si="1"/>
        <v>INSERT INTO MEDICO (IDMEDICO, IDESPECIALIDAD, NOMBRE, PATERNO, MATERNO, CEDULA) VALUES(17,17,'Nancy','hernandez','Ozuna',358998);</v>
      </c>
    </row>
    <row r="19" spans="1:8">
      <c r="A19">
        <v>18</v>
      </c>
      <c r="B19">
        <v>18</v>
      </c>
      <c r="C19" t="s">
        <v>80</v>
      </c>
      <c r="D19" t="s">
        <v>81</v>
      </c>
      <c r="E19" t="s">
        <v>82</v>
      </c>
      <c r="F19">
        <v>876532</v>
      </c>
      <c r="H19" t="str">
        <f t="shared" si="1"/>
        <v>INSERT INTO MEDICO (IDMEDICO, IDESPECIALIDAD, NOMBRE, PATERNO, MATERNO, CEDULA) VALUES(18,18,'Alejandra','Rodriguez','villarreal',876532);</v>
      </c>
    </row>
    <row r="20" spans="1:8">
      <c r="A20">
        <v>19</v>
      </c>
      <c r="B20">
        <v>19</v>
      </c>
      <c r="C20" t="s">
        <v>85</v>
      </c>
      <c r="D20" t="s">
        <v>84</v>
      </c>
      <c r="E20" t="s">
        <v>83</v>
      </c>
      <c r="F20">
        <v>765483</v>
      </c>
      <c r="H20" t="str">
        <f t="shared" si="1"/>
        <v>INSERT INTO MEDICO (IDMEDICO, IDESPECIALIDAD, NOMBRE, PATERNO, MATERNO, CEDULA) VALUES(19,19,'Jose','Gonzalez','Perez',765483);</v>
      </c>
    </row>
    <row r="21" spans="1:8">
      <c r="A21">
        <v>20</v>
      </c>
      <c r="B21">
        <v>20</v>
      </c>
      <c r="C21" t="s">
        <v>72</v>
      </c>
      <c r="D21" t="s">
        <v>73</v>
      </c>
      <c r="E21" t="s">
        <v>70</v>
      </c>
      <c r="F21">
        <v>345678</v>
      </c>
      <c r="H21" t="str">
        <f t="shared" si="1"/>
        <v>INSERT INTO MEDICO (IDMEDICO, IDESPECIALIDAD, NOMBRE, PATERNO, MATERNO, CEDULA) VALUES(20,20,'Luzelena','Mendoza','de la Peña',345678);</v>
      </c>
    </row>
    <row r="22" spans="1:8">
      <c r="A22">
        <v>21</v>
      </c>
      <c r="B22">
        <v>21</v>
      </c>
      <c r="C22" t="s">
        <v>74</v>
      </c>
      <c r="D22" t="s">
        <v>75</v>
      </c>
      <c r="E22" t="s">
        <v>76</v>
      </c>
      <c r="F22">
        <v>857940</v>
      </c>
      <c r="H22" t="str">
        <f t="shared" si="1"/>
        <v>INSERT INTO MEDICO (IDMEDICO, IDESPECIALIDAD, NOMBRE, PATERNO, MATERNO, CEDULA) VALUES(21,21,'Rodolfo ','Gloria','Peña',857940);</v>
      </c>
    </row>
    <row r="23" spans="1:8">
      <c r="A23">
        <v>22</v>
      </c>
      <c r="B23">
        <v>22</v>
      </c>
      <c r="C23" t="s">
        <v>77</v>
      </c>
      <c r="D23" t="s">
        <v>78</v>
      </c>
      <c r="E23" t="s">
        <v>79</v>
      </c>
      <c r="F23">
        <v>987654</v>
      </c>
      <c r="H23" t="str">
        <f t="shared" si="1"/>
        <v>INSERT INTO MEDICO (IDMEDICO, IDESPECIALIDAD, NOMBRE, PATERNO, MATERNO, CEDULA) VALUES(22,22,'Jordi ','Saucedo','Gonzales',987654);</v>
      </c>
    </row>
    <row r="24" spans="1:8">
      <c r="A24">
        <v>23</v>
      </c>
      <c r="B24">
        <v>23</v>
      </c>
      <c r="C24" t="s">
        <v>89</v>
      </c>
      <c r="D24" t="s">
        <v>90</v>
      </c>
      <c r="E24" t="s">
        <v>91</v>
      </c>
      <c r="F24">
        <v>432689</v>
      </c>
      <c r="H24" t="str">
        <f t="shared" si="1"/>
        <v>INSERT INTO MEDICO (IDMEDICO, IDESPECIALIDAD, NOMBRE, PATERNO, MATERNO, CEDULA) VALUES(23,23,'Paola','Duron','Quijano',432689);</v>
      </c>
    </row>
    <row r="25" spans="1:8">
      <c r="A25">
        <v>24</v>
      </c>
      <c r="B25">
        <v>24</v>
      </c>
      <c r="C25" t="s">
        <v>87</v>
      </c>
      <c r="D25" t="s">
        <v>88</v>
      </c>
      <c r="E25" t="s">
        <v>78</v>
      </c>
      <c r="F25">
        <v>567346</v>
      </c>
      <c r="H25" t="str">
        <f t="shared" si="1"/>
        <v>INSERT INTO MEDICO (IDMEDICO, IDESPECIALIDAD, NOMBRE, PATERNO, MATERNO, CEDULA) VALUES(24,24,'Roberto','Villarreal','Saucedo',567346);</v>
      </c>
    </row>
    <row r="26" spans="1:8">
      <c r="A26">
        <v>25</v>
      </c>
      <c r="B26">
        <v>25</v>
      </c>
      <c r="C26" t="s">
        <v>60</v>
      </c>
      <c r="D26" t="s">
        <v>69</v>
      </c>
      <c r="E26" t="s">
        <v>70</v>
      </c>
      <c r="F26">
        <v>270413</v>
      </c>
      <c r="H26" t="str">
        <f t="shared" si="1"/>
        <v>INSERT INTO MEDICO (IDMEDICO, IDESPECIALIDAD, NOMBRE, PATERNO, MATERNO, CEDULA) VALUES(25,25,'Guadalupe ','Davila ','de la Peña',270413);</v>
      </c>
    </row>
    <row r="27" spans="1:8">
      <c r="A27">
        <v>26</v>
      </c>
      <c r="B27">
        <v>26</v>
      </c>
      <c r="C27" t="s">
        <v>86</v>
      </c>
      <c r="D27" t="s">
        <v>67</v>
      </c>
      <c r="E27" t="s">
        <v>71</v>
      </c>
      <c r="F27">
        <v>270416</v>
      </c>
      <c r="H27" t="str">
        <f>CONCATENATE("INSERT INTO MEDICO (IDMEDICO, IDESPECIALIDAD, NOMBRE, PATERNO, MATERNO, CEDULA) VALUES(",A27,",",B27,",'",C27,"','",D27,"','",E27,"',",F27,");")</f>
        <v>INSERT INTO MEDICO (IDMEDICO, IDESPECIALIDAD, NOMBRE, PATERNO, MATERNO, CEDULA) VALUES(26,26,'Jaime','hernandez','Solis',270416);</v>
      </c>
    </row>
  </sheetData>
  <pageMargins left="0" right="0" top="0.39370078740157483" bottom="0.39370078740157483" header="0" footer="0"/>
  <headerFooter>
    <oddHeader>&amp;C&amp;A</oddHeader>
    <oddFooter>&amp;CPágina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7"/>
  <sheetViews>
    <sheetView workbookViewId="0">
      <selection activeCell="C2" sqref="C2"/>
    </sheetView>
  </sheetViews>
  <sheetFormatPr baseColWidth="10" defaultRowHeight="15"/>
  <cols>
    <col min="1" max="1" width="25.88671875" bestFit="1" customWidth="1"/>
    <col min="2" max="2" width="22.44140625" bestFit="1" customWidth="1"/>
    <col min="3" max="3" width="84.44140625" customWidth="1"/>
  </cols>
  <sheetData>
    <row r="1" spans="1:3" s="2" customFormat="1" ht="15.75">
      <c r="A1" s="1" t="s">
        <v>19</v>
      </c>
      <c r="B1" s="2" t="s">
        <v>21</v>
      </c>
      <c r="C1" s="2" t="s">
        <v>47</v>
      </c>
    </row>
    <row r="2" spans="1:3" ht="15.75">
      <c r="A2" s="1">
        <v>1</v>
      </c>
      <c r="B2" s="5" t="s">
        <v>22</v>
      </c>
      <c r="C2" t="str">
        <f>CONCATENATE("INSERT INTO ESPECIALIDAD (IDESPECIALIDAD, NOMBRE) VALUES(",A2,",'",B2,"');")</f>
        <v>INSERT INTO ESPECIALIDAD (IDESPECIALIDAD, NOMBRE) VALUES(1,'Alergología');</v>
      </c>
    </row>
    <row r="3" spans="1:3" ht="15.75">
      <c r="A3" s="1">
        <v>2</v>
      </c>
      <c r="B3" s="5" t="s">
        <v>23</v>
      </c>
      <c r="C3" t="str">
        <f t="shared" ref="C3:C27" si="0">CONCATENATE("INSERT INTO ESPECIALIDAD (IDESPECIALIDAD, NOMBRE) VALUES(",A3,",'",B3,"');")</f>
        <v>INSERT INTO ESPECIALIDAD (IDESPECIALIDAD, NOMBRE) VALUES(2,'Anestesiología');</v>
      </c>
    </row>
    <row r="4" spans="1:3" ht="15.75">
      <c r="A4" s="1">
        <v>3</v>
      </c>
      <c r="B4" s="5" t="s">
        <v>24</v>
      </c>
      <c r="C4" t="str">
        <f t="shared" si="0"/>
        <v>INSERT INTO ESPECIALIDAD (IDESPECIALIDAD, NOMBRE) VALUES(3,'Cardiología ');</v>
      </c>
    </row>
    <row r="5" spans="1:3" ht="15.75">
      <c r="A5" s="1">
        <v>4</v>
      </c>
      <c r="B5" s="5" t="s">
        <v>25</v>
      </c>
      <c r="C5" t="str">
        <f t="shared" si="0"/>
        <v>INSERT INTO ESPECIALIDAD (IDESPECIALIDAD, NOMBRE) VALUES(4,'Gastroenterología ');</v>
      </c>
    </row>
    <row r="6" spans="1:3" ht="15.75">
      <c r="A6" s="1">
        <v>5</v>
      </c>
      <c r="B6" s="5" t="s">
        <v>26</v>
      </c>
      <c r="C6" t="str">
        <f t="shared" si="0"/>
        <v>INSERT INTO ESPECIALIDAD (IDESPECIALIDAD, NOMBRE) VALUES(5,'Endocrinología');</v>
      </c>
    </row>
    <row r="7" spans="1:3" ht="15.75">
      <c r="A7" s="1">
        <v>6</v>
      </c>
      <c r="B7" s="5" t="s">
        <v>27</v>
      </c>
      <c r="C7" t="str">
        <f t="shared" si="0"/>
        <v>INSERT INTO ESPECIALIDAD (IDESPECIALIDAD, NOMBRE) VALUES(6,'Geriatría');</v>
      </c>
    </row>
    <row r="8" spans="1:3" ht="15.75">
      <c r="A8" s="1">
        <v>7</v>
      </c>
      <c r="B8" s="5" t="s">
        <v>28</v>
      </c>
      <c r="C8" t="str">
        <f t="shared" si="0"/>
        <v>INSERT INTO ESPECIALIDAD (IDESPECIALIDAD, NOMBRE) VALUES(7,'Hematología y hemoterapia');</v>
      </c>
    </row>
    <row r="9" spans="1:3" ht="15.75">
      <c r="A9" s="1">
        <v>8</v>
      </c>
      <c r="B9" s="5" t="s">
        <v>29</v>
      </c>
      <c r="C9" t="str">
        <f t="shared" si="0"/>
        <v>INSERT INTO ESPECIALIDAD (IDESPECIALIDAD, NOMBRE) VALUES(8,'Hidrología médica ');</v>
      </c>
    </row>
    <row r="10" spans="1:3" ht="15.75">
      <c r="A10" s="1">
        <v>9</v>
      </c>
      <c r="B10" s="5" t="s">
        <v>48</v>
      </c>
      <c r="C10" t="str">
        <f t="shared" si="0"/>
        <v>INSERT INTO ESPECIALIDAD (IDESPECIALIDAD, NOMBRE) VALUES(9,'Infectología');</v>
      </c>
    </row>
    <row r="11" spans="1:3" ht="15.75">
      <c r="A11" s="1">
        <v>10</v>
      </c>
      <c r="B11" s="5" t="s">
        <v>30</v>
      </c>
      <c r="C11" t="str">
        <f t="shared" si="0"/>
        <v>INSERT INTO ESPECIALIDAD (IDESPECIALIDAD, NOMBRE) VALUES(10,'Nefrología');</v>
      </c>
    </row>
    <row r="12" spans="1:3" ht="15.75">
      <c r="A12" s="1">
        <v>11</v>
      </c>
      <c r="B12" s="5" t="s">
        <v>31</v>
      </c>
      <c r="C12" t="str">
        <f t="shared" si="0"/>
        <v>INSERT INTO ESPECIALIDAD (IDESPECIALIDAD, NOMBRE) VALUES(11,'Neumología ');</v>
      </c>
    </row>
    <row r="13" spans="1:3" ht="15.75">
      <c r="A13" s="1">
        <v>12</v>
      </c>
      <c r="B13" s="5" t="s">
        <v>32</v>
      </c>
      <c r="C13" t="str">
        <f t="shared" si="0"/>
        <v>INSERT INTO ESPECIALIDAD (IDESPECIALIDAD, NOMBRE) VALUES(12,'Neurología ');</v>
      </c>
    </row>
    <row r="14" spans="1:3" ht="15.75">
      <c r="A14" s="1">
        <v>13</v>
      </c>
      <c r="B14" s="5" t="s">
        <v>33</v>
      </c>
      <c r="C14" t="str">
        <f t="shared" si="0"/>
        <v>INSERT INTO ESPECIALIDAD (IDESPECIALIDAD, NOMBRE) VALUES(13,'Nutriología ');</v>
      </c>
    </row>
    <row r="15" spans="1:3" ht="15.75">
      <c r="A15" s="1">
        <v>14</v>
      </c>
      <c r="B15" s="5" t="s">
        <v>34</v>
      </c>
      <c r="C15" t="str">
        <f t="shared" si="0"/>
        <v>INSERT INTO ESPECIALIDAD (IDESPECIALIDAD, NOMBRE) VALUES(14,'Odontología ');</v>
      </c>
    </row>
    <row r="16" spans="1:3" ht="15.75">
      <c r="A16" s="1">
        <v>15</v>
      </c>
      <c r="B16" s="5" t="s">
        <v>35</v>
      </c>
      <c r="C16" t="str">
        <f t="shared" si="0"/>
        <v>INSERT INTO ESPECIALIDAD (IDESPECIALIDAD, NOMBRE) VALUES(15,'Oftalmología');</v>
      </c>
    </row>
    <row r="17" spans="1:3" ht="15.75">
      <c r="A17" s="1">
        <v>16</v>
      </c>
      <c r="B17" s="5" t="s">
        <v>36</v>
      </c>
      <c r="C17" t="str">
        <f t="shared" si="0"/>
        <v>INSERT INTO ESPECIALIDAD (IDESPECIALIDAD, NOMBRE) VALUES(16,'Oncología médica ');</v>
      </c>
    </row>
    <row r="18" spans="1:3" ht="15.75">
      <c r="A18" s="1">
        <v>17</v>
      </c>
      <c r="B18" s="5" t="s">
        <v>37</v>
      </c>
      <c r="C18" t="str">
        <f t="shared" si="0"/>
        <v>INSERT INTO ESPECIALIDAD (IDESPECIALIDAD, NOMBRE) VALUES(17,'Oncología radioterápica');</v>
      </c>
    </row>
    <row r="19" spans="1:3" ht="15.75">
      <c r="A19" s="1">
        <v>18</v>
      </c>
      <c r="B19" s="5" t="s">
        <v>38</v>
      </c>
      <c r="C19" t="str">
        <f t="shared" si="0"/>
        <v>INSERT INTO ESPECIALIDAD (IDESPECIALIDAD, NOMBRE) VALUES(18,'Otorrinolaringología ');</v>
      </c>
    </row>
    <row r="20" spans="1:3" ht="15.75">
      <c r="A20" s="1">
        <v>19</v>
      </c>
      <c r="B20" s="5" t="s">
        <v>39</v>
      </c>
      <c r="C20" t="str">
        <f t="shared" si="0"/>
        <v>INSERT INTO ESPECIALIDAD (IDESPECIALIDAD, NOMBRE) VALUES(19,'Pediatría ');</v>
      </c>
    </row>
    <row r="21" spans="1:3" ht="15.75">
      <c r="A21" s="1">
        <v>20</v>
      </c>
      <c r="B21" s="5" t="s">
        <v>40</v>
      </c>
      <c r="C21" t="str">
        <f t="shared" si="0"/>
        <v>INSERT INTO ESPECIALIDAD (IDESPECIALIDAD, NOMBRE) VALUES(20,'Proctología ');</v>
      </c>
    </row>
    <row r="22" spans="1:3" ht="15.75">
      <c r="A22" s="1">
        <v>21</v>
      </c>
      <c r="B22" s="5" t="s">
        <v>41</v>
      </c>
      <c r="C22" t="str">
        <f t="shared" si="0"/>
        <v>INSERT INTO ESPECIALIDAD (IDESPECIALIDAD, NOMBRE) VALUES(21,'Psiquiatría ');</v>
      </c>
    </row>
    <row r="23" spans="1:3" ht="15.75">
      <c r="A23" s="1">
        <v>22</v>
      </c>
      <c r="B23" s="5" t="s">
        <v>42</v>
      </c>
      <c r="C23" t="str">
        <f t="shared" si="0"/>
        <v>INSERT INTO ESPECIALIDAD (IDESPECIALIDAD, NOMBRE) VALUES(22,'Rehabilitación ');</v>
      </c>
    </row>
    <row r="24" spans="1:3" ht="15.75">
      <c r="A24" s="1">
        <v>23</v>
      </c>
      <c r="B24" s="5" t="s">
        <v>43</v>
      </c>
      <c r="C24" t="str">
        <f t="shared" si="0"/>
        <v>INSERT INTO ESPECIALIDAD (IDESPECIALIDAD, NOMBRE) VALUES(23,'Reumatología ');</v>
      </c>
    </row>
    <row r="25" spans="1:3" ht="15.75">
      <c r="A25" s="1">
        <v>24</v>
      </c>
      <c r="B25" s="5" t="s">
        <v>44</v>
      </c>
      <c r="C25" t="str">
        <f t="shared" si="0"/>
        <v>INSERT INTO ESPECIALIDAD (IDESPECIALIDAD, NOMBRE) VALUES(24,'Traumatología ');</v>
      </c>
    </row>
    <row r="26" spans="1:3" ht="15.75">
      <c r="A26" s="1">
        <v>25</v>
      </c>
      <c r="B26" s="5" t="s">
        <v>45</v>
      </c>
      <c r="C26" t="str">
        <f t="shared" si="0"/>
        <v>INSERT INTO ESPECIALIDAD (IDESPECIALIDAD, NOMBRE) VALUES(25,'Toxicología ');</v>
      </c>
    </row>
    <row r="27" spans="1:3" ht="15.75">
      <c r="A27" s="1">
        <v>26</v>
      </c>
      <c r="B27" s="5" t="s">
        <v>46</v>
      </c>
      <c r="C27" t="str">
        <f t="shared" si="0"/>
        <v>INSERT INTO ESPECIALIDAD (IDESPECIALIDAD, NOMBRE) VALUES(26,'Urología');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topLeftCell="B1" workbookViewId="0">
      <selection activeCell="J2" sqref="J2"/>
    </sheetView>
  </sheetViews>
  <sheetFormatPr baseColWidth="10" defaultRowHeight="15"/>
  <cols>
    <col min="1" max="1" width="25.33203125" bestFit="1" customWidth="1"/>
    <col min="2" max="2" width="16.21875" bestFit="1" customWidth="1"/>
    <col min="6" max="6" width="14.33203125" bestFit="1" customWidth="1"/>
  </cols>
  <sheetData>
    <row r="1" spans="1:9" s="2" customFormat="1" ht="15.75">
      <c r="A1" s="1" t="s">
        <v>20</v>
      </c>
      <c r="B1" s="2" t="s">
        <v>19</v>
      </c>
      <c r="C1" s="2" t="s">
        <v>18</v>
      </c>
      <c r="D1" s="2" t="s">
        <v>52</v>
      </c>
      <c r="E1" s="2" t="s">
        <v>53</v>
      </c>
      <c r="F1" s="2" t="s">
        <v>12</v>
      </c>
      <c r="G1" s="2" t="s">
        <v>15</v>
      </c>
      <c r="H1" s="2" t="s">
        <v>16</v>
      </c>
      <c r="I1" s="2" t="s">
        <v>17</v>
      </c>
    </row>
    <row r="2" spans="1:9" ht="15.75">
      <c r="A2" s="1"/>
    </row>
    <row r="3" spans="1:9" ht="15.75">
      <c r="A3" s="1"/>
    </row>
    <row r="4" spans="1:9" ht="15.75">
      <c r="A4" s="1"/>
    </row>
    <row r="5" spans="1:9" ht="15.75">
      <c r="A5" s="1"/>
    </row>
    <row r="6" spans="1:9" ht="15.75">
      <c r="A6" s="1"/>
    </row>
    <row r="7" spans="1:9" ht="15.75">
      <c r="A7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7"/>
  <sheetViews>
    <sheetView zoomScaleNormal="100" workbookViewId="0">
      <selection activeCell="B24" sqref="B24"/>
    </sheetView>
  </sheetViews>
  <sheetFormatPr baseColWidth="10" defaultRowHeight="15"/>
  <cols>
    <col min="1" max="1" width="28.33203125" bestFit="1" customWidth="1"/>
    <col min="3" max="3" width="15.109375" customWidth="1"/>
  </cols>
  <sheetData>
    <row r="1" spans="1:3">
      <c r="A1" t="s">
        <v>51</v>
      </c>
      <c r="B1" t="s">
        <v>18</v>
      </c>
      <c r="C1" t="s">
        <v>19</v>
      </c>
    </row>
    <row r="2" spans="1:3">
      <c r="A2">
        <v>1</v>
      </c>
      <c r="B2">
        <v>1</v>
      </c>
      <c r="C2">
        <v>1</v>
      </c>
    </row>
    <row r="3" spans="1:3">
      <c r="A3">
        <v>2</v>
      </c>
      <c r="B3">
        <v>2</v>
      </c>
      <c r="C3">
        <v>2</v>
      </c>
    </row>
    <row r="4" spans="1:3">
      <c r="A4">
        <v>3</v>
      </c>
      <c r="B4">
        <v>3</v>
      </c>
      <c r="C4">
        <v>3</v>
      </c>
    </row>
    <row r="5" spans="1:3">
      <c r="A5">
        <v>4</v>
      </c>
      <c r="B5">
        <v>4</v>
      </c>
      <c r="C5">
        <v>4</v>
      </c>
    </row>
    <row r="6" spans="1:3">
      <c r="A6">
        <v>5</v>
      </c>
      <c r="B6">
        <v>5</v>
      </c>
      <c r="C6">
        <v>5</v>
      </c>
    </row>
    <row r="7" spans="1:3">
      <c r="A7">
        <v>6</v>
      </c>
      <c r="B7">
        <v>6</v>
      </c>
      <c r="C7">
        <v>6</v>
      </c>
    </row>
    <row r="8" spans="1:3">
      <c r="A8">
        <v>7</v>
      </c>
      <c r="B8">
        <v>7</v>
      </c>
      <c r="C8">
        <v>7</v>
      </c>
    </row>
    <row r="9" spans="1:3">
      <c r="A9">
        <v>8</v>
      </c>
      <c r="B9">
        <v>8</v>
      </c>
      <c r="C9">
        <v>8</v>
      </c>
    </row>
    <row r="10" spans="1:3">
      <c r="A10">
        <v>9</v>
      </c>
      <c r="B10">
        <v>9</v>
      </c>
      <c r="C10">
        <v>9</v>
      </c>
    </row>
    <row r="11" spans="1:3">
      <c r="A11">
        <v>10</v>
      </c>
      <c r="B11">
        <v>10</v>
      </c>
      <c r="C11">
        <v>10</v>
      </c>
    </row>
    <row r="12" spans="1:3">
      <c r="A12">
        <v>11</v>
      </c>
      <c r="B12">
        <v>11</v>
      </c>
      <c r="C12">
        <v>11</v>
      </c>
    </row>
    <row r="13" spans="1:3">
      <c r="A13">
        <v>12</v>
      </c>
      <c r="B13">
        <v>12</v>
      </c>
      <c r="C13">
        <v>12</v>
      </c>
    </row>
    <row r="14" spans="1:3">
      <c r="A14">
        <v>13</v>
      </c>
      <c r="B14">
        <v>13</v>
      </c>
      <c r="C14">
        <v>13</v>
      </c>
    </row>
    <row r="15" spans="1:3">
      <c r="A15">
        <v>14</v>
      </c>
      <c r="B15">
        <v>14</v>
      </c>
      <c r="C15">
        <v>14</v>
      </c>
    </row>
    <row r="16" spans="1:3">
      <c r="A16">
        <v>15</v>
      </c>
      <c r="B16">
        <v>15</v>
      </c>
      <c r="C16">
        <v>15</v>
      </c>
    </row>
    <row r="17" spans="1:3">
      <c r="A17">
        <v>16</v>
      </c>
      <c r="B17">
        <v>16</v>
      </c>
      <c r="C17">
        <v>16</v>
      </c>
    </row>
    <row r="18" spans="1:3">
      <c r="A18">
        <v>17</v>
      </c>
      <c r="B18">
        <v>17</v>
      </c>
      <c r="C18">
        <v>17</v>
      </c>
    </row>
    <row r="19" spans="1:3">
      <c r="A19">
        <v>18</v>
      </c>
      <c r="B19">
        <v>18</v>
      </c>
      <c r="C19">
        <v>18</v>
      </c>
    </row>
    <row r="20" spans="1:3">
      <c r="A20">
        <v>19</v>
      </c>
      <c r="B20">
        <v>19</v>
      </c>
      <c r="C20">
        <v>19</v>
      </c>
    </row>
    <row r="21" spans="1:3">
      <c r="A21">
        <v>20</v>
      </c>
      <c r="B21">
        <v>20</v>
      </c>
      <c r="C21">
        <v>20</v>
      </c>
    </row>
    <row r="22" spans="1:3">
      <c r="A22">
        <v>21</v>
      </c>
      <c r="B22">
        <v>21</v>
      </c>
      <c r="C22">
        <v>21</v>
      </c>
    </row>
    <row r="23" spans="1:3">
      <c r="A23">
        <v>22</v>
      </c>
      <c r="B23">
        <v>22</v>
      </c>
      <c r="C23">
        <v>22</v>
      </c>
    </row>
    <row r="24" spans="1:3">
      <c r="A24">
        <v>23</v>
      </c>
      <c r="B24">
        <v>23</v>
      </c>
      <c r="C24">
        <v>23</v>
      </c>
    </row>
    <row r="25" spans="1:3">
      <c r="A25">
        <v>24</v>
      </c>
      <c r="B25">
        <v>24</v>
      </c>
      <c r="C25">
        <v>24</v>
      </c>
    </row>
    <row r="26" spans="1:3">
      <c r="A26">
        <v>25</v>
      </c>
      <c r="B26">
        <v>25</v>
      </c>
      <c r="C26">
        <v>25</v>
      </c>
    </row>
    <row r="27" spans="1:3">
      <c r="A27">
        <v>26</v>
      </c>
      <c r="B27">
        <v>26</v>
      </c>
      <c r="C27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62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DIAGRAMAER</vt:lpstr>
      <vt:lpstr>SCRIPT_MEDICO</vt:lpstr>
      <vt:lpstr>SCRIPT_ESPECIALIDAD</vt:lpstr>
      <vt:lpstr>TABLACONSULTA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clemente</dc:creator>
  <cp:lastModifiedBy>LuisMartin</cp:lastModifiedBy>
  <cp:revision>9</cp:revision>
  <dcterms:created xsi:type="dcterms:W3CDTF">2016-05-01T20:57:22Z</dcterms:created>
  <dcterms:modified xsi:type="dcterms:W3CDTF">2016-05-18T09:32:10Z</dcterms:modified>
</cp:coreProperties>
</file>